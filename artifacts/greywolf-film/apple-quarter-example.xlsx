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25c082cfc54e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rter pull" sheetId="1" r:id="R1b8aed63d8454383"/>
    <x:sheet xmlns:r="http://schemas.openxmlformats.org/officeDocument/2006/relationships" name="Source" sheetId="2" r:id="R2280c12413a94e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(#,##0);&quot;-&quot;"/>
    <x:numFmt numFmtId="201" formatCode="#,##0.00;(#,##0.00);&quot;-&quot;"/>
    <x:numFmt numFmtId="202" formatCode="#,##0"/>
    <x:numFmt numFmtId="203" formatCode="mmm d, yyyy"/>
  </x:numFmts>
  <x:fonts count="9">
    <x:font>
      <x:sz val="11"/>
      <x:name val="Carlito"/>
    </x:font>
    <x:font>
      <x:sz val="11"/>
      <x:color rgb="FF1E2A5A"/>
      <x:name val="Helvetica"/>
    </x:font>
    <x:font>
      <x:b/>
      <x:sz val="17"/>
      <x:color rgb="FF1E2A5A"/>
      <x:name val="Helvetica"/>
    </x:font>
    <x:font>
      <x:i/>
      <x:sz val="10"/>
      <x:color rgb="FF1E2A5A"/>
      <x:name val="Helvetica"/>
    </x:font>
    <x:font>
      <x:sz val="11"/>
      <x:color rgb="FF0000FF"/>
      <x:name val="Helvetica"/>
    </x:font>
    <x:font>
      <x:b/>
      <x:sz val="11"/>
      <x:color rgb="FFFFFDFA"/>
      <x:name val="Helvetica"/>
    </x:font>
    <x:font>
      <x:sz val="11"/>
      <x:color rgb="FFA83F5A"/>
      <x:name val="Helvetica"/>
    </x:font>
    <x:font>
      <x:b/>
      <x:sz val="11"/>
      <x:color rgb="FF1E2A5A"/>
      <x:name val="Helvetica"/>
    </x:font>
    <x:font>
      <x:b/>
      <x:sz val="11"/>
      <x:color rgb="FFA83F5A"/>
      <x:name val="Helvetica"/>
    </x:font>
  </x:fonts>
  <x:fills count="4">
    <x:fill>
      <x:patternFill patternType="none"/>
    </x:fill>
    <x:fill>
      <x:patternFill patternType="gray125"/>
    </x:fill>
    <x:fill>
      <x:patternFill patternType="solid">
        <x:fgColor rgb="FFF3E6C8"/>
      </x:patternFill>
    </x:fill>
    <x:fill>
      <x:patternFill patternType="solid">
        <x:fgColor rgb="FF1E2A5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1E2A5A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 applyAlignment="1">
      <x:alignment horizontal="right"/>
    </x:xf>
    <x:xf numFmtId="0" fontId="6" fillId="0" borderId="1" xfId="0" applyNumberFormat="1" applyFont="1" applyFill="1" applyBorder="1"/>
    <x:xf numFmtId="0" fontId="7" fillId="0" borderId="1" xfId="0" applyNumberFormat="1" applyFont="1" applyFill="1" applyBorder="1"/>
    <x:xf numFmtId="200" fontId="7" fillId="0" borderId="1" xfId="0" applyNumberFormat="1" applyFont="1" applyFill="1" applyBorder="1" applyAlignment="1">
      <x:alignment horizontal="right"/>
    </x:xf>
    <x:xf numFmtId="0" fontId="7" fillId="0" borderId="1" xfId="0" applyNumberFormat="1" applyFont="1" applyFill="1" applyBorder="1" applyAlignment="1">
      <x:alignment horizontal="right"/>
    </x:xf>
    <x:xf numFmtId="0" fontId="8" fillId="0" borderId="1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A83F5A"/>
      </x:font>
      <x:fill>
        <x:patternFill patternType="solid">
          <x:bgColor rgb="FFECE0DD"/>
        </x:patternFill>
      </x:fill>
    </x:dxf>
    <x:dxf>
      <x:font>
        <x:b/>
        <x:color rgb="FFA83F5A"/>
      </x:font>
      <x:fill>
        <x:patternFill patternType="solid">
          <x:bgColor rgb="FFECE0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e6ab215f084f5c" /><Relationship Type="http://schemas.openxmlformats.org/officeDocument/2006/relationships/theme" Target="/xl/theme/theme1.xml" Id="Rcbd13015fb7e4e2b" /><Relationship Type="http://schemas.openxmlformats.org/officeDocument/2006/relationships/sharedStrings" Target="/xl/sharedStrings.xml" Id="Re2d8c32dec90459b" /><Relationship Type="http://schemas.openxmlformats.org/officeDocument/2006/relationships/worksheet" Target="/xl/worksheets/sheet1.xml" Id="R1b8aed63d8454383" /><Relationship Type="http://schemas.openxmlformats.org/officeDocument/2006/relationships/worksheet" Target="/xl/worksheets/sheet2.xml" Id="R2280c12413a94e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OtterdSource1" Type="http://schemas.openxmlformats.org/officeDocument/2006/relationships/hyperlink" Target="https://s2.q4cdn.com/470004039/files/doc_earnings/2025/q3/filing/10Q-Q3-2025-as-filed.pdf#page=4" TargetMode="External" /><ns0:Relationship Id="rIdOtterdSource2" Type="http://schemas.openxmlformats.org/officeDocument/2006/relationships/hyperlink" Target="https://s2.q4cdn.com/470004039/files/doc_earnings/2025/q3/filing/10Q-Q3-2025-as-filed.pdf#page=4" TargetMode="External" /><ns0:Relationship Id="rIdOtterdSource3" Type="http://schemas.openxmlformats.org/officeDocument/2006/relationships/hyperlink" Target="https://s2.q4cdn.com/470004039/files/doc_earnings/2025/q3/filing/10Q-Q3-2025-as-filed.pdf#page=4" TargetMode="External" /></ns0:Relationships>
</file>

<file path=xl/worksheets/_rels/sheet2.xml.rels><?xml version='1.0' encoding='utf-8'?>
<ns0:Relationships xmlns:ns0="http://schemas.openxmlformats.org/package/2006/relationships"><ns0:Relationship Id="rIdOtterdSource1" Type="http://schemas.openxmlformats.org/officeDocument/2006/relationships/hyperlink" Target="https://s2.q4cdn.com/470004039/files/doc_earnings/2025/q3/filing/10Q-Q3-2025-as-filed.pdf#page=4" TargetMode="External" /><ns0:Relationship Id="rIdOtterdSource2" Type="http://schemas.openxmlformats.org/officeDocument/2006/relationships/hyperlink" Target="https://s2.q4cdn.com/470004039/files/doc_earnings/2025/q3/filing/10Q-Q3-2025-as-filed.pdf#page=4" TargetMode="External" /><ns0:Relationship Id="rIdOtterdSource3" Type="http://schemas.openxmlformats.org/officeDocument/2006/relationships/hyperlink" Target="https://s2.q4cdn.com/470004039/files/doc_earnings/2025/q3/filing/10Q-Q3-2025-as-filed.pdf#page=4" TargetMode="External" /><ns0:Relationship Id="rIdOtterdSource4" Type="http://schemas.openxmlformats.org/officeDocument/2006/relationships/hyperlink" Target="https://s2.q4cdn.com/470004039/files/doc_earnings/2025/q3/filing/10Q-Q3-2025-as-filed.pdf#page=4" TargetMode="External" /><ns0:Relationship Id="rIdOtterdSource5" Type="http://schemas.openxmlformats.org/officeDocument/2006/relationships/hyperlink" Target="https://s2.q4cdn.com/470004039/files/doc_earnings/2025/q3/filing/10Q-Q3-2025-as-filed.pdf#page=4" TargetMode="External" /><ns0:Relationship Id="rIdOtterdSource6" Type="http://schemas.openxmlformats.org/officeDocument/2006/relationships/hyperlink" Target="https://s2.q4cdn.com/470004039/files/doc_earnings/2025/q3/filing/10Q-Q3-2025-as-filed.pdf#page=4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1" max="1" width="3" hidden="0" customWidth="1"/>
    <col min="2" max="2" width="35" hidden="0" customWidth="1"/>
    <col min="3" max="3" width="32" hidden="0" customWidth="1"/>
    <col min="4" max="4" width="18" hidden="0" customWidth="1"/>
    <col min="5" max="5" width="37" hidden="0" customWidth="1"/>
  </cols>
  <sheetData>
    <row r="1">
      <c r="A1" s="1"/>
      <c r="B1" s="1"/>
      <c r="C1" s="1"/>
      <c r="D1" s="1"/>
      <c r="E1" s="1"/>
      <c r="F1" s="1"/>
      <c r="G1" s="1"/>
    </row>
    <row r="2" ht="23" customHeight="1">
      <c r="A2" s="1"/>
      <c r="B2" s="2" t="str">
        <v>Apple quarter pull</v>
      </c>
      <c r="C2" s="1"/>
      <c r="D2" s="1"/>
      <c r="E2" s="1"/>
      <c r="F2" s="1"/>
      <c r="G2" s="1"/>
    </row>
    <row r="3" ht="23" customHeight="1">
      <c r="A3" s="1"/>
      <c r="B3" s="3" t="str">
        <v>Target: three months ended June 28, 2025 · USD millions</v>
      </c>
      <c r="C3" s="1"/>
      <c r="D3" s="1"/>
      <c r="E3" s="1"/>
      <c r="F3" s="1"/>
      <c r="G3" s="1"/>
    </row>
    <row r="4" ht="23" customHeight="1">
      <c r="A4" s="1"/>
      <c r="B4" s="1"/>
      <c r="C4" s="1"/>
      <c r="D4" s="1"/>
      <c r="E4" s="1"/>
      <c r="F4" s="1"/>
      <c r="G4" s="1"/>
    </row>
    <row r="5" ht="23" customHeight="1">
      <c r="A5" s="1"/>
      <c r="B5" s="1" t="str">
        <v>Services period (months)</v>
      </c>
      <c r="C5" s="5" t="n">
        <v>3</v>
      </c>
      <c r="D5" s="1"/>
      <c r="E5" s="1"/>
      <c r="F5" s="1"/>
      <c r="G5" s="1"/>
    </row>
    <row r="6" ht="23" customHeight="1">
      <c r="A6" s="1"/>
      <c r="B6" s="1"/>
      <c r="C6" s="1"/>
      <c r="D6" s="1"/>
      <c r="E6" s="1"/>
      <c r="F6" s="1"/>
      <c r="G6" s="1"/>
    </row>
    <row r="7" ht="23" customHeight="1">
      <c r="A7" s="1"/>
      <c r="B7" s="3" t="str">
        <v>Change C5 to 9 to reproduce the seeded period error.</v>
      </c>
      <c r="C7" s="1"/>
      <c r="D7" s="1"/>
      <c r="E7" s="1"/>
      <c r="F7" s="1"/>
      <c r="G7" s="1"/>
    </row>
    <row r="8" ht="27" customHeight="1">
      <c r="A8" s="1"/>
      <c r="B8" s="7" t="str">
        <v>Metric</v>
      </c>
      <c r="C8" s="7" t="str">
        <v>USD millions</v>
      </c>
      <c r="D8" s="7" t="str">
        <v>Months</v>
      </c>
      <c r="E8" s="7" t="str">
        <v>Source</v>
      </c>
      <c r="F8" s="1"/>
      <c r="G8" s="1"/>
    </row>
    <row r="9" ht="23" customHeight="1">
      <c r="A9" s="1"/>
      <c r="B9" s="1" t="str">
        <v>Products</v>
      </c>
      <c r="C9" s="10" t="n">
        <f>'Source'!C6</f>
        <v>66613</v>
      </c>
      <c r="D9" s="11" t="n">
        <f>'Source'!D6</f>
        <v>3</v>
      </c>
      <c r="E9" s="8" t="str">
        <v>Open filing · PDF page 4</v>
      </c>
      <c r="F9" s="1"/>
      <c r="G9" s="1"/>
    </row>
    <row r="10" ht="23" customHeight="1">
      <c r="A10" s="1"/>
      <c r="B10" s="1" t="str">
        <v>Services</v>
      </c>
      <c r="C10" s="10" t="n">
        <f>IF(C5=3,'Source'!C8,IF(C5=9,'Source'!C9,"Choose 3 or 9"))</f>
        <v>27423</v>
      </c>
      <c r="D10" s="11" t="n">
        <f>C5</f>
        <v>3</v>
      </c>
      <c r="E10" s="8" t="str">
        <v>Open filing · PDF page 4</v>
      </c>
      <c r="F10" s="1"/>
      <c r="G10" s="1"/>
    </row>
    <row r="11" ht="23" customHeight="1">
      <c r="A11" s="1"/>
      <c r="B11" s="16" t="str">
        <v>Total net sales</v>
      </c>
      <c r="C11" s="17" t="n">
        <f>'Source'!C10</f>
        <v>94036</v>
      </c>
      <c r="D11" s="18" t="n">
        <f>'Source'!D10</f>
        <v>3</v>
      </c>
      <c r="E11" s="19" t="str">
        <v>Open filing · PDF page 4</v>
      </c>
      <c r="F11" s="1"/>
      <c r="G11" s="1"/>
    </row>
    <row r="12" ht="23" customHeight="1">
      <c r="A12" s="1"/>
      <c r="B12" s="1"/>
      <c r="C12" s="10"/>
      <c r="D12" s="11"/>
      <c r="E12" s="1"/>
      <c r="F12" s="1"/>
      <c r="G12" s="1"/>
    </row>
    <row r="13" ht="23" customHeight="1">
      <c r="A13" s="1"/>
      <c r="B13" s="1"/>
      <c r="C13" s="10"/>
      <c r="D13" s="11"/>
      <c r="E13" s="1"/>
      <c r="F13" s="1"/>
      <c r="G13" s="1"/>
    </row>
    <row r="14" ht="23" customHeight="1">
      <c r="A14" s="1"/>
      <c r="B14" s="1" t="str">
        <v>Sum of components</v>
      </c>
      <c r="C14" s="10" t="n">
        <f>SUM(C9:C10)</f>
        <v>94036</v>
      </c>
      <c r="D14" s="11"/>
      <c r="E14" s="1"/>
      <c r="F14" s="1"/>
      <c r="G14" s="1"/>
    </row>
    <row r="15" ht="23" customHeight="1">
      <c r="A15" s="1"/>
      <c r="B15" s="1" t="str">
        <v>Reported total</v>
      </c>
      <c r="C15" s="10" t="n">
        <f>C11</f>
        <v>94036</v>
      </c>
      <c r="D15" s="11"/>
      <c r="E15" s="1"/>
      <c r="F15" s="1"/>
      <c r="G15" s="1"/>
    </row>
    <row r="16" ht="23" customHeight="1">
      <c r="A16" s="1"/>
      <c r="B16" s="1" t="str">
        <v>Difference</v>
      </c>
      <c r="C16" s="20" t="n">
        <f>C14-C15</f>
        <v>0</v>
      </c>
      <c r="D16" s="11"/>
      <c r="E16" s="1"/>
      <c r="F16" s="1"/>
      <c r="G16" s="1"/>
    </row>
    <row r="17" ht="23" customHeight="1">
      <c r="A17" s="1"/>
      <c r="B17" s="1"/>
      <c r="C17" s="1"/>
      <c r="D17" s="1"/>
      <c r="E17" s="1"/>
      <c r="F17" s="1"/>
      <c r="G17" s="1"/>
    </row>
    <row r="18" ht="35" customHeight="1">
      <c r="A18" s="1"/>
      <c r="B18" s="1" t="str">
        <v>Period check</v>
      </c>
      <c r="C18" s="21" t="str">
        <f>IF(AND(D9=3,D10=3,D11=3),"3 months throughout","Review: mixed periods")</f>
        <v>3 months throughout</v>
      </c>
      <c r="D18" s="21"/>
      <c r="E18" s="21"/>
      <c r="F18" s="1"/>
      <c r="G18" s="1"/>
    </row>
    <row r="19" ht="35" customHeight="1">
      <c r="A19" s="1"/>
      <c r="B19" s="1" t="str">
        <v>Total check</v>
      </c>
      <c r="C19" s="21" t="str">
        <f>IF(C16=0,"Agrees with reported total","Review: components do not tie")</f>
        <v>Agrees with reported total</v>
      </c>
      <c r="D19" s="21"/>
      <c r="E19" s="21"/>
      <c r="F19" s="1"/>
      <c r="G19" s="1"/>
    </row>
    <row r="20" ht="23" customHeight="1">
      <c r="A20" s="1"/>
      <c r="B20" s="1"/>
      <c r="C20" s="1"/>
      <c r="D20" s="1"/>
      <c r="E20" s="1"/>
      <c r="F20" s="1"/>
      <c r="G20" s="1"/>
    </row>
    <row r="21" ht="23" customHeight="1">
      <c r="A21" s="1"/>
      <c r="B21" s="1"/>
      <c r="C21" s="1"/>
      <c r="D21" s="1"/>
      <c r="E21" s="1"/>
      <c r="F21" s="1"/>
      <c r="G21" s="1"/>
    </row>
    <row r="22" ht="23" customHeight="1">
      <c r="A22" s="1"/>
      <c r="B22" s="3" t="str">
        <v>Public-source demonstration</v>
      </c>
      <c r="C22" s="1"/>
      <c r="D22" s="1"/>
      <c r="E22" s="1"/>
      <c r="F22" s="1"/>
      <c r="G22" s="1"/>
    </row>
    <row r="23" ht="23" customHeight="1">
      <c r="A23" s="1"/>
      <c r="B23" s="3" t="str">
        <v>Seeded error is deliberate; this is not Greywolf client work.</v>
      </c>
      <c r="C23" s="1"/>
      <c r="D23" s="1"/>
      <c r="E23" s="1"/>
      <c r="F23" s="1"/>
      <c r="G23" s="1"/>
    </row>
    <row r="24" ht="23" customHeight="1">
      <c r="A24" s="1"/>
      <c r="B24" s="1"/>
      <c r="C24" s="1"/>
      <c r="D24" s="1"/>
      <c r="E24" s="1"/>
      <c r="F24" s="1"/>
      <c r="G24" s="1"/>
    </row>
    <row r="25" ht="23" customHeight="1">
      <c r="A25" s="1"/>
      <c r="B25" s="1"/>
      <c r="C25" s="1"/>
      <c r="D25" s="1"/>
      <c r="E25" s="1"/>
      <c r="F25" s="1"/>
      <c r="G25" s="1"/>
    </row>
    <row r="26" ht="23" customHeight="1">
      <c r="A26" s="1"/>
      <c r="B26" s="1"/>
      <c r="C26" s="1"/>
      <c r="D26" s="1"/>
      <c r="E26" s="1"/>
      <c r="F26" s="1"/>
      <c r="G26" s="1"/>
    </row>
  </sheetData>
  <conditionalFormatting sqref="C16:C16">
    <cfRule type="cellIs" dxfId="0" priority="1" operator="notEqual">
      <formula>0</formula>
    </cfRule>
  </conditionalFormatting>
  <conditionalFormatting sqref="C18:C19">
    <cfRule type="containsText" dxfId="1" priority="2" operator="containsText" text="Review:"/>
  </conditionalFormatting>
  <dataValidations count="1">
    <dataValidation type="list" sqref="C5">
      <formula1>"3,9"</formula1>
    </dataValidation>
  </dataValidations>
  <hyperlinks>
    <hyperlink ref="E9" r:id="rIdOtterdSource1"/>
    <hyperlink ref="E10" r:id="rIdOtterdSource2"/>
    <hyperlink ref="E11" r:id="rIdOtterdSource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1" max="1" width="3" hidden="0" customWidth="1"/>
    <col min="2" max="2" width="35" hidden="0" customWidth="1"/>
    <col min="3" max="3" width="26" hidden="0" customWidth="1"/>
    <col min="4" max="4" width="18" hidden="0" customWidth="1"/>
    <col min="5" max="5" width="22" hidden="0" customWidth="1"/>
    <col min="6" max="6" width="28" hidden="0" customWidth="1"/>
  </cols>
  <sheetData>
    <row r="1">
      <c r="A1" s="1"/>
      <c r="B1" s="1"/>
      <c r="C1" s="1"/>
      <c r="D1" s="1"/>
      <c r="E1" s="1"/>
      <c r="F1" s="1"/>
      <c r="G1" s="1"/>
    </row>
    <row r="2" ht="23" customHeight="1">
      <c r="A2" s="1"/>
      <c r="B2" s="2" t="str">
        <v>Original source values</v>
      </c>
      <c r="C2" s="1"/>
      <c r="D2" s="1"/>
      <c r="E2" s="1"/>
      <c r="F2" s="1"/>
      <c r="G2" s="1"/>
    </row>
    <row r="3" ht="23" customHeight="1">
      <c r="A3" s="1"/>
      <c r="B3" s="1" t="str">
        <v>Apple FY25 Q3 Form 10-Q · printed page 1 / PDF page 4</v>
      </c>
      <c r="C3" s="1"/>
      <c r="D3" s="1"/>
      <c r="E3" s="1"/>
      <c r="F3" s="1"/>
      <c r="G3" s="1"/>
    </row>
    <row r="4" ht="23" customHeight="1">
      <c r="A4" s="1"/>
      <c r="B4" s="1"/>
      <c r="C4" s="1"/>
      <c r="D4" s="1"/>
      <c r="E4" s="1"/>
      <c r="F4" s="1"/>
      <c r="G4" s="1"/>
    </row>
    <row r="5" ht="25" customHeight="1">
      <c r="A5" s="1"/>
      <c r="B5" s="7" t="str">
        <v>Metric</v>
      </c>
      <c r="C5" s="7" t="str">
        <v>USD millions</v>
      </c>
      <c r="D5" s="7" t="str">
        <v>Months</v>
      </c>
      <c r="E5" s="7" t="str">
        <v>Period end</v>
      </c>
      <c r="F5" s="7" t="str">
        <v>Source</v>
      </c>
      <c r="G5" s="1"/>
    </row>
    <row r="6" ht="25" customHeight="1">
      <c r="A6" s="1"/>
      <c r="B6" s="1" t="str">
        <v>Products</v>
      </c>
      <c r="C6" s="22" t="n">
        <v>66613</v>
      </c>
      <c r="D6" s="1" t="n">
        <v>3</v>
      </c>
      <c r="E6" s="23" t="d">
        <v>2025-06-28T00:00:00.000Z</v>
      </c>
      <c r="F6" s="8" t="str">
        <v>Open original statement</v>
      </c>
      <c r="G6" s="1"/>
    </row>
    <row r="7" ht="25" customHeight="1">
      <c r="A7" s="1"/>
      <c r="B7" s="1" t="str">
        <v>Products</v>
      </c>
      <c r="C7" s="22" t="n">
        <v>233287</v>
      </c>
      <c r="D7" s="1" t="n">
        <v>9</v>
      </c>
      <c r="E7" s="23" t="d">
        <v>2025-06-28T00:00:00.000Z</v>
      </c>
      <c r="F7" s="8" t="str">
        <v>Open original statement</v>
      </c>
      <c r="G7" s="1"/>
    </row>
    <row r="8" ht="25" customHeight="1">
      <c r="A8" s="1"/>
      <c r="B8" s="1" t="str">
        <v>Services</v>
      </c>
      <c r="C8" s="22" t="n">
        <v>27423</v>
      </c>
      <c r="D8" s="1" t="n">
        <v>3</v>
      </c>
      <c r="E8" s="23" t="d">
        <v>2025-06-28T00:00:00.000Z</v>
      </c>
      <c r="F8" s="8" t="str">
        <v>Open original statement</v>
      </c>
      <c r="G8" s="1"/>
    </row>
    <row r="9" ht="25" customHeight="1">
      <c r="A9" s="1"/>
      <c r="B9" s="1" t="str">
        <v>Services</v>
      </c>
      <c r="C9" s="22" t="n">
        <v>80408</v>
      </c>
      <c r="D9" s="1" t="n">
        <v>9</v>
      </c>
      <c r="E9" s="23" t="d">
        <v>2025-06-28T00:00:00.000Z</v>
      </c>
      <c r="F9" s="8" t="str">
        <v>Open original statement</v>
      </c>
      <c r="G9" s="1"/>
    </row>
    <row r="10" ht="25" customHeight="1">
      <c r="A10" s="1"/>
      <c r="B10" s="1" t="str">
        <v>Total net sales</v>
      </c>
      <c r="C10" s="22" t="n">
        <v>94036</v>
      </c>
      <c r="D10" s="1" t="n">
        <v>3</v>
      </c>
      <c r="E10" s="23" t="d">
        <v>2025-06-28T00:00:00.000Z</v>
      </c>
      <c r="F10" s="8" t="str">
        <v>Open original statement</v>
      </c>
      <c r="G10" s="1"/>
    </row>
    <row r="11" ht="25" customHeight="1">
      <c r="A11" s="1"/>
      <c r="B11" s="1" t="str">
        <v>Total net sales</v>
      </c>
      <c r="C11" s="22" t="n">
        <v>313695</v>
      </c>
      <c r="D11" s="1" t="n">
        <v>9</v>
      </c>
      <c r="E11" s="23" t="d">
        <v>2025-06-28T00:00:00.000Z</v>
      </c>
      <c r="F11" s="8" t="str">
        <v>Open original statement</v>
      </c>
      <c r="G11" s="1"/>
    </row>
    <row r="12" ht="23" customHeight="1">
      <c r="A12" s="1"/>
      <c r="B12" s="1"/>
      <c r="C12" s="1"/>
      <c r="D12" s="1"/>
      <c r="E12" s="1"/>
      <c r="F12" s="1"/>
      <c r="G12" s="1"/>
    </row>
    <row r="13" ht="23" customHeight="1">
      <c r="A13" s="1"/>
      <c r="B13" s="1"/>
      <c r="C13" s="1"/>
      <c r="D13" s="1"/>
      <c r="E13" s="1"/>
      <c r="F13" s="1"/>
      <c r="G13" s="1"/>
    </row>
    <row r="14" ht="23" customHeight="1">
      <c r="A14" s="1"/>
      <c r="B14" s="1" t="str">
        <v>Extraction scope</v>
      </c>
      <c r="C14" s="1"/>
      <c r="D14" s="1"/>
      <c r="E14" s="1"/>
      <c r="F14" s="1"/>
      <c r="G14" s="1"/>
    </row>
    <row r="15" ht="23" customHeight="1">
      <c r="A15" s="1"/>
      <c r="B15" s="3" t="str">
        <v>Deterministic parser for this filing; original values kept intact.</v>
      </c>
      <c r="C15" s="1"/>
      <c r="D15" s="1"/>
      <c r="E15" s="1"/>
      <c r="F15" s="1"/>
      <c r="G15" s="1"/>
    </row>
    <row r="16" ht="23" customHeight="1">
      <c r="A16" s="1"/>
      <c r="B16" s="3"/>
      <c r="C16" s="1"/>
      <c r="D16" s="1"/>
      <c r="E16" s="1"/>
      <c r="F16" s="1"/>
      <c r="G16" s="1"/>
    </row>
    <row r="17" ht="23" customHeight="1">
      <c r="A17" s="1"/>
      <c r="B17" s="3" t="str">
        <v>Retrieved October 22, 2026. No confidential files used.</v>
      </c>
      <c r="C17" s="1"/>
      <c r="D17" s="1"/>
      <c r="E17" s="1"/>
      <c r="F17" s="1"/>
      <c r="G17" s="1"/>
    </row>
    <row r="18" ht="23" customHeight="1">
      <c r="A18" s="1"/>
      <c r="B18" s="1"/>
      <c r="C18" s="1"/>
      <c r="D18" s="1"/>
      <c r="E18" s="1"/>
      <c r="F18" s="1"/>
      <c r="G18" s="1"/>
    </row>
    <row r="19" ht="23" customHeight="1">
      <c r="A19" s="1"/>
      <c r="B19" s="1"/>
      <c r="C19" s="1"/>
      <c r="D19" s="1"/>
      <c r="E19" s="1"/>
      <c r="F19" s="1"/>
      <c r="G19" s="1"/>
    </row>
    <row r="20" ht="23" customHeight="1">
      <c r="A20" s="1"/>
      <c r="B20" s="1"/>
      <c r="C20" s="1"/>
      <c r="D20" s="1"/>
      <c r="E20" s="1"/>
      <c r="F20" s="1"/>
      <c r="G20" s="1"/>
    </row>
    <row r="21" ht="23" customHeight="1">
      <c r="A21" s="1"/>
      <c r="B21" s="1"/>
      <c r="C21" s="1"/>
      <c r="D21" s="1"/>
      <c r="E21" s="1"/>
      <c r="F21" s="1"/>
      <c r="G21" s="1"/>
    </row>
    <row r="22" ht="23" customHeight="1">
      <c r="A22" s="1"/>
      <c r="B22" s="1"/>
      <c r="C22" s="1"/>
      <c r="D22" s="1"/>
      <c r="E22" s="1"/>
      <c r="F22" s="1"/>
      <c r="G22" s="1"/>
    </row>
    <row r="23" ht="23" customHeight="1">
      <c r="A23" s="1"/>
      <c r="B23" s="1"/>
      <c r="C23" s="1"/>
      <c r="D23" s="1"/>
      <c r="E23" s="1"/>
      <c r="F23" s="1"/>
      <c r="G23" s="1"/>
    </row>
    <row r="24" ht="23" customHeight="1">
      <c r="A24" s="1"/>
      <c r="B24" s="1"/>
      <c r="C24" s="1"/>
      <c r="D24" s="1"/>
      <c r="E24" s="1"/>
      <c r="F24" s="1"/>
      <c r="G24" s="1"/>
    </row>
    <row r="25" ht="23" customHeight="1">
      <c r="A25" s="1"/>
      <c r="B25" s="1"/>
      <c r="C25" s="1"/>
      <c r="D25" s="1"/>
      <c r="E25" s="1"/>
      <c r="F25" s="1"/>
      <c r="G25" s="1"/>
    </row>
    <row r="26" ht="23" customHeight="1">
      <c r="A26" s="1"/>
      <c r="B26" s="1"/>
      <c r="C26" s="1"/>
      <c r="D26" s="1"/>
      <c r="E26" s="1"/>
      <c r="F26" s="1"/>
      <c r="G26" s="1"/>
    </row>
  </sheetData>
  <hyperlinks>
    <hyperlink ref="F6" r:id="rIdOtterdSource1"/>
    <hyperlink ref="F7" r:id="rIdOtterdSource2"/>
    <hyperlink ref="F8" r:id="rIdOtterdSource3"/>
    <hyperlink ref="F9" r:id="rIdOtterdSource4"/>
    <hyperlink ref="F10" r:id="rIdOtterdSource5"/>
    <hyperlink ref="F11" r:id="rIdOtterdSource6"/>
  </hyperlinks>
  <pageMargins left="0.7" right="0.7" top="0.75" bottom="0.75" header="0.3" footer="0.3"/>
</worksheet>
</file>